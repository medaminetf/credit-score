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ine\Downloads\"/>
    </mc:Choice>
  </mc:AlternateContent>
  <xr:revisionPtr revIDLastSave="0" documentId="13_ncr:1_{F04A9625-1A9A-4518-BE0B-177EF222EF3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Feuil1" sheetId="1" r:id="rId1"/>
    <sheet name="financier" sheetId="2" r:id="rId2"/>
    <sheet name="corporate" sheetId="3" r:id="rId3"/>
  </sheets>
  <definedNames>
    <definedName name="_xlnm._FilterDatabase" localSheetId="0" hidden="1">Feuil1!$B$1:$B$93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2" l="1"/>
  <c r="M3" i="2"/>
  <c r="N3" i="2"/>
  <c r="O3" i="2"/>
  <c r="P3" i="2"/>
  <c r="R3" i="2" s="1"/>
  <c r="S3" i="2" s="1"/>
  <c r="Q3" i="2"/>
  <c r="S5" i="2"/>
  <c r="R5" i="2"/>
  <c r="Q5" i="2"/>
  <c r="P5" i="2"/>
  <c r="O5" i="2"/>
  <c r="N5" i="2"/>
  <c r="M5" i="2"/>
  <c r="L5" i="2"/>
</calcChain>
</file>

<file path=xl/sharedStrings.xml><?xml version="1.0" encoding="utf-8"?>
<sst xmlns="http://schemas.openxmlformats.org/spreadsheetml/2006/main" count="330" uniqueCount="176">
  <si>
    <t>Emetteur</t>
  </si>
  <si>
    <t>Type</t>
  </si>
  <si>
    <t>Secteur</t>
  </si>
  <si>
    <t>ATTIJARIWAFA BANK</t>
  </si>
  <si>
    <t>Banque</t>
  </si>
  <si>
    <t>Bancaire</t>
  </si>
  <si>
    <t>Banque Centrale Populaire (BCP)</t>
  </si>
  <si>
    <t>Bank of Africa (BOA)</t>
  </si>
  <si>
    <t>BMCI</t>
  </si>
  <si>
    <t>CIH Bank</t>
  </si>
  <si>
    <t>Credit du Maroc (CDM)</t>
  </si>
  <si>
    <t>Credit Agricole du Maroc (CAM)</t>
  </si>
  <si>
    <t>CFG Bank</t>
  </si>
  <si>
    <t>Saham Bank</t>
  </si>
  <si>
    <t>CDG Capital</t>
  </si>
  <si>
    <t>Banque d'affaires</t>
  </si>
  <si>
    <t>FEC</t>
  </si>
  <si>
    <t>Financement des collectivités</t>
  </si>
  <si>
    <t>EQDOM</t>
  </si>
  <si>
    <t>Société de financement</t>
  </si>
  <si>
    <t>Crédit à la consommation</t>
  </si>
  <si>
    <t>SALAFIN</t>
  </si>
  <si>
    <t>WAFASALAF</t>
  </si>
  <si>
    <t>SOFAC</t>
  </si>
  <si>
    <t>RCI FINANCE MAROC</t>
  </si>
  <si>
    <t>Financement automobile</t>
  </si>
  <si>
    <t>Wafabail</t>
  </si>
  <si>
    <t>Leasing</t>
  </si>
  <si>
    <t>MAGHREBAIL</t>
  </si>
  <si>
    <t>MAROC LEASING SA</t>
  </si>
  <si>
    <t>Saham Leasing</t>
  </si>
  <si>
    <t>JAIDA</t>
  </si>
  <si>
    <t>Financement de la microfinance</t>
  </si>
  <si>
    <t>CASH PLUS</t>
  </si>
  <si>
    <t>Établissement de paiement</t>
  </si>
  <si>
    <t>OCP</t>
  </si>
  <si>
    <t>Corporate</t>
  </si>
  <si>
    <t>Phosphates / Chimie</t>
  </si>
  <si>
    <t>MAROC TELECOM</t>
  </si>
  <si>
    <t>Télécommunications</t>
  </si>
  <si>
    <t>Taqa Morocco</t>
  </si>
  <si>
    <t>Énergie</t>
  </si>
  <si>
    <t>AFRIQUIA GAZ</t>
  </si>
  <si>
    <t>Distribution de gaz</t>
  </si>
  <si>
    <t>TotalEnergies Marketing Maroc</t>
  </si>
  <si>
    <t>Distribution pétrolière</t>
  </si>
  <si>
    <t>MANAGEM</t>
  </si>
  <si>
    <t>Mines</t>
  </si>
  <si>
    <t>SMI</t>
  </si>
  <si>
    <t>Compagnie Miniere de Touissit (CMT)</t>
  </si>
  <si>
    <t>ZELLIDJA</t>
  </si>
  <si>
    <t>Mines / Holding</t>
  </si>
  <si>
    <t>REBAB COMPANY</t>
  </si>
  <si>
    <t>HOLCIM MAROC</t>
  </si>
  <si>
    <t>Ciment</t>
  </si>
  <si>
    <t>CIMENTS DU MAROC</t>
  </si>
  <si>
    <t>SONASID</t>
  </si>
  <si>
    <t>Sidérurgie</t>
  </si>
  <si>
    <t>MAGHREB STEEL</t>
  </si>
  <si>
    <t>ALUMINIUM DU MAROC</t>
  </si>
  <si>
    <t>Industrie métallurgique</t>
  </si>
  <si>
    <t>SNEP</t>
  </si>
  <si>
    <t>Chimie</t>
  </si>
  <si>
    <t>COLORADO SA</t>
  </si>
  <si>
    <t>Chimie / Peintures</t>
  </si>
  <si>
    <t>MAGHREB OXYGENE</t>
  </si>
  <si>
    <t>Gaz industriels</t>
  </si>
  <si>
    <t>AFRIC INDUSTRIES SA</t>
  </si>
  <si>
    <t>Industrie</t>
  </si>
  <si>
    <t>SRM SA</t>
  </si>
  <si>
    <t>Industrie mécanique</t>
  </si>
  <si>
    <t>MED PAPER</t>
  </si>
  <si>
    <t>Papier</t>
  </si>
  <si>
    <t>TGCC SA</t>
  </si>
  <si>
    <t>BTP / Construction</t>
  </si>
  <si>
    <t>SGTM</t>
  </si>
  <si>
    <t>JET CONTRACTORS</t>
  </si>
  <si>
    <t>STROC</t>
  </si>
  <si>
    <t>Construction métallique</t>
  </si>
  <si>
    <t>ADDOHA</t>
  </si>
  <si>
    <t>Immobilier</t>
  </si>
  <si>
    <t>Alliances Developpement Immobilier (ADI)</t>
  </si>
  <si>
    <t>Alliances Darna</t>
  </si>
  <si>
    <t>Residences Dar Saada (RDS)</t>
  </si>
  <si>
    <t>BALIMA</t>
  </si>
  <si>
    <t>Holding Al Omrane</t>
  </si>
  <si>
    <t>Immobilier / Aménagement public</t>
  </si>
  <si>
    <t>ARADEI CAPITAL</t>
  </si>
  <si>
    <t>Foncière</t>
  </si>
  <si>
    <t>IMMORENTE INVEST</t>
  </si>
  <si>
    <t>LABEL VIE S.A.</t>
  </si>
  <si>
    <t>Grande distribution</t>
  </si>
  <si>
    <t>COSUMAR</t>
  </si>
  <si>
    <t>Agroalimentaire / Sucre</t>
  </si>
  <si>
    <t>LESIEUR CRISTAL</t>
  </si>
  <si>
    <t>Agroalimentaire</t>
  </si>
  <si>
    <t>UNIMER</t>
  </si>
  <si>
    <t>DARI COUSPATE</t>
  </si>
  <si>
    <t>Societe des Boissons du Maroc (SBM)</t>
  </si>
  <si>
    <t>Boissons</t>
  </si>
  <si>
    <t>OULMES</t>
  </si>
  <si>
    <t>MUTANDIS SCA</t>
  </si>
  <si>
    <t>Biens de consommation</t>
  </si>
  <si>
    <t>SOTHEMA</t>
  </si>
  <si>
    <t>Pharmaceutique</t>
  </si>
  <si>
    <t>PROMOPHARM</t>
  </si>
  <si>
    <t>AKDITAL</t>
  </si>
  <si>
    <t>Santé</t>
  </si>
  <si>
    <t>Vicenne</t>
  </si>
  <si>
    <t>Santé / Équipements médicaux</t>
  </si>
  <si>
    <t>AUTO HALL</t>
  </si>
  <si>
    <t>Distribution automobile</t>
  </si>
  <si>
    <t>AUTO NEJMA</t>
  </si>
  <si>
    <t>STOKVIS NORD AFRIQUE</t>
  </si>
  <si>
    <t>Distribution d'équipements</t>
  </si>
  <si>
    <t>FENIE BROSSETTE</t>
  </si>
  <si>
    <t>Distribution industrielle</t>
  </si>
  <si>
    <t>DISWAY</t>
  </si>
  <si>
    <t>Distribution IT</t>
  </si>
  <si>
    <t>MICRODATA</t>
  </si>
  <si>
    <t>Disty Technologies</t>
  </si>
  <si>
    <t>HPS SA</t>
  </si>
  <si>
    <t>Technologies / Paiement</t>
  </si>
  <si>
    <t>M2M Group</t>
  </si>
  <si>
    <t>Technologies / Monétique</t>
  </si>
  <si>
    <t>S2M</t>
  </si>
  <si>
    <t>INVOLYS</t>
  </si>
  <si>
    <t>Édition de logiciels</t>
  </si>
  <si>
    <t>CMGP GROUP</t>
  </si>
  <si>
    <t>Agroéquipement / Irrigation</t>
  </si>
  <si>
    <t>CTM</t>
  </si>
  <si>
    <t>Transport</t>
  </si>
  <si>
    <t>RISMA</t>
  </si>
  <si>
    <t>Hôtellerie</t>
  </si>
  <si>
    <t>MARSA MAROC</t>
  </si>
  <si>
    <t>Infrastructures portuaires</t>
  </si>
  <si>
    <t>Tanger Med Port Authority</t>
  </si>
  <si>
    <t>Agence Nationale des Ports (ANP)</t>
  </si>
  <si>
    <t>ADM (Autoroutes du Maroc)</t>
  </si>
  <si>
    <t>Infrastructures autoroutières</t>
  </si>
  <si>
    <t>ONCF</t>
  </si>
  <si>
    <t>Infrastructures ferroviaires</t>
  </si>
  <si>
    <t>DELTA HOLDING S.A</t>
  </si>
  <si>
    <t>Holding diversifié</t>
  </si>
  <si>
    <t>Wafa Assurance</t>
  </si>
  <si>
    <t>Assurance</t>
  </si>
  <si>
    <t>ATLANTASANAD</t>
  </si>
  <si>
    <t>Sanlam Maroc</t>
  </si>
  <si>
    <t>AFMA</t>
  </si>
  <si>
    <t>Courtage en assurance</t>
  </si>
  <si>
    <t>AGMA</t>
  </si>
  <si>
    <t>Capitaux propre</t>
  </si>
  <si>
    <t>Total actif</t>
  </si>
  <si>
    <t>Dettes subordonnees</t>
  </si>
  <si>
    <t>Etablissements de credits</t>
  </si>
  <si>
    <t>dettes envers la clientele</t>
  </si>
  <si>
    <t>autre dettes representees par un titre</t>
  </si>
  <si>
    <t>Produit net bancaire</t>
  </si>
  <si>
    <t>Produits d'interet</t>
  </si>
  <si>
    <t>charges d'interets</t>
  </si>
  <si>
    <t>Societes</t>
  </si>
  <si>
    <t>RDS</t>
  </si>
  <si>
    <t>Dette nette</t>
  </si>
  <si>
    <t>Capitaux propres</t>
  </si>
  <si>
    <t>Resultat d'exploitation</t>
  </si>
  <si>
    <t>EBITDA</t>
  </si>
  <si>
    <t>Charges d'interet (Frais financiers)</t>
  </si>
  <si>
    <t>CIH</t>
  </si>
  <si>
    <t>ratio solvabilite</t>
  </si>
  <si>
    <t>TOTAL EXIGIBLE / PNB</t>
  </si>
  <si>
    <t>PRODUITS D'INTERETS / CHARGES D'INTERETS</t>
  </si>
  <si>
    <t>scoring 1</t>
  </si>
  <si>
    <t>scoring 2</t>
  </si>
  <si>
    <t>scoring 3</t>
  </si>
  <si>
    <t>Scoring final</t>
  </si>
  <si>
    <t>score en llettre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</si>
</sst>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E2B33"/>
        <bgColor rgb="FF993300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3" borderId="0" xfId="0" applyFont="1" applyFill="1"/>
    <xf numFmtId="43" fontId="0" fillId="0" borderId="0" xfId="1" applyFont="1"/>
    <xf numFmtId="0" fontId="4" fillId="3" borderId="0" xfId="0" applyFont="1" applyFill="1" applyAlignment="1">
      <alignment vertical="top" wrapText="1"/>
    </xf>
    <xf numFmtId="0" fontId="4" fillId="4" borderId="0" xfId="0" applyFont="1" applyFill="1" applyAlignment="1">
      <alignment wrapText="1"/>
    </xf>
    <xf numFmtId="0" fontId="4" fillId="4" borderId="0" xfId="0" applyFont="1" applyFill="1"/>
    <xf numFmtId="10" fontId="0" fillId="0" borderId="0" xfId="2" applyNumberFormat="1" applyFont="1"/>
    <xf numFmtId="2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93"/>
  <sheetViews>
    <sheetView workbookViewId="0">
      <selection activeCell="A23" sqref="A2:A23"/>
    </sheetView>
  </sheetViews>
  <sheetFormatPr defaultColWidth="11.42578125" defaultRowHeight="15" x14ac:dyDescent="0.25"/>
  <cols>
    <col min="1" max="1" width="38" style="3" customWidth="1"/>
    <col min="2" max="2" width="20" style="3" customWidth="1"/>
    <col min="3" max="3" width="26" style="3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4</v>
      </c>
      <c r="C3" s="2" t="s">
        <v>5</v>
      </c>
    </row>
    <row r="4" spans="1:3" x14ac:dyDescent="0.25">
      <c r="A4" s="2" t="s">
        <v>7</v>
      </c>
      <c r="B4" s="2" t="s">
        <v>4</v>
      </c>
      <c r="C4" s="2" t="s">
        <v>5</v>
      </c>
    </row>
    <row r="5" spans="1:3" x14ac:dyDescent="0.25">
      <c r="A5" s="2" t="s">
        <v>8</v>
      </c>
      <c r="B5" s="2" t="s">
        <v>4</v>
      </c>
      <c r="C5" s="2" t="s">
        <v>5</v>
      </c>
    </row>
    <row r="6" spans="1:3" x14ac:dyDescent="0.25">
      <c r="A6" s="2" t="s">
        <v>9</v>
      </c>
      <c r="B6" s="2" t="s">
        <v>4</v>
      </c>
      <c r="C6" s="2" t="s">
        <v>5</v>
      </c>
    </row>
    <row r="7" spans="1:3" x14ac:dyDescent="0.25">
      <c r="A7" s="2" t="s">
        <v>10</v>
      </c>
      <c r="B7" s="2" t="s">
        <v>4</v>
      </c>
      <c r="C7" s="2" t="s">
        <v>5</v>
      </c>
    </row>
    <row r="8" spans="1:3" x14ac:dyDescent="0.25">
      <c r="A8" s="2" t="s">
        <v>11</v>
      </c>
      <c r="B8" s="2" t="s">
        <v>4</v>
      </c>
      <c r="C8" s="2" t="s">
        <v>5</v>
      </c>
    </row>
    <row r="9" spans="1:3" x14ac:dyDescent="0.25">
      <c r="A9" s="2" t="s">
        <v>12</v>
      </c>
      <c r="B9" s="2" t="s">
        <v>4</v>
      </c>
      <c r="C9" s="2" t="s">
        <v>5</v>
      </c>
    </row>
    <row r="10" spans="1:3" x14ac:dyDescent="0.25">
      <c r="A10" s="2" t="s">
        <v>13</v>
      </c>
      <c r="B10" s="2" t="s">
        <v>4</v>
      </c>
      <c r="C10" s="2" t="s">
        <v>5</v>
      </c>
    </row>
    <row r="11" spans="1:3" x14ac:dyDescent="0.25">
      <c r="A11" s="2" t="s">
        <v>14</v>
      </c>
      <c r="B11" s="2" t="s">
        <v>4</v>
      </c>
      <c r="C11" s="2" t="s">
        <v>15</v>
      </c>
    </row>
    <row r="12" spans="1:3" x14ac:dyDescent="0.25">
      <c r="A12" s="2" t="s">
        <v>16</v>
      </c>
      <c r="B12" s="2" t="s">
        <v>4</v>
      </c>
      <c r="C12" s="2" t="s">
        <v>17</v>
      </c>
    </row>
    <row r="13" spans="1:3" x14ac:dyDescent="0.25">
      <c r="A13" s="2" t="s">
        <v>18</v>
      </c>
      <c r="B13" s="2" t="s">
        <v>19</v>
      </c>
      <c r="C13" s="2" t="s">
        <v>20</v>
      </c>
    </row>
    <row r="14" spans="1:3" x14ac:dyDescent="0.25">
      <c r="A14" s="2" t="s">
        <v>21</v>
      </c>
      <c r="B14" s="2" t="s">
        <v>19</v>
      </c>
      <c r="C14" s="2" t="s">
        <v>20</v>
      </c>
    </row>
    <row r="15" spans="1:3" x14ac:dyDescent="0.25">
      <c r="A15" s="2" t="s">
        <v>22</v>
      </c>
      <c r="B15" s="2" t="s">
        <v>19</v>
      </c>
      <c r="C15" s="2" t="s">
        <v>20</v>
      </c>
    </row>
    <row r="16" spans="1:3" x14ac:dyDescent="0.25">
      <c r="A16" s="2" t="s">
        <v>23</v>
      </c>
      <c r="B16" s="2" t="s">
        <v>19</v>
      </c>
      <c r="C16" s="2" t="s">
        <v>20</v>
      </c>
    </row>
    <row r="17" spans="1:3" x14ac:dyDescent="0.25">
      <c r="A17" s="2" t="s">
        <v>24</v>
      </c>
      <c r="B17" s="2" t="s">
        <v>19</v>
      </c>
      <c r="C17" s="2" t="s">
        <v>25</v>
      </c>
    </row>
    <row r="18" spans="1:3" x14ac:dyDescent="0.25">
      <c r="A18" s="2" t="s">
        <v>26</v>
      </c>
      <c r="B18" s="2" t="s">
        <v>19</v>
      </c>
      <c r="C18" s="2" t="s">
        <v>27</v>
      </c>
    </row>
    <row r="19" spans="1:3" x14ac:dyDescent="0.25">
      <c r="A19" s="2" t="s">
        <v>28</v>
      </c>
      <c r="B19" s="2" t="s">
        <v>19</v>
      </c>
      <c r="C19" s="2" t="s">
        <v>27</v>
      </c>
    </row>
    <row r="20" spans="1:3" x14ac:dyDescent="0.25">
      <c r="A20" s="2" t="s">
        <v>29</v>
      </c>
      <c r="B20" s="2" t="s">
        <v>19</v>
      </c>
      <c r="C20" s="2" t="s">
        <v>27</v>
      </c>
    </row>
    <row r="21" spans="1:3" x14ac:dyDescent="0.25">
      <c r="A21" s="2" t="s">
        <v>30</v>
      </c>
      <c r="B21" s="2" t="s">
        <v>19</v>
      </c>
      <c r="C21" s="2" t="s">
        <v>27</v>
      </c>
    </row>
    <row r="22" spans="1:3" x14ac:dyDescent="0.25">
      <c r="A22" s="2" t="s">
        <v>31</v>
      </c>
      <c r="B22" s="2" t="s">
        <v>19</v>
      </c>
      <c r="C22" s="2" t="s">
        <v>32</v>
      </c>
    </row>
    <row r="23" spans="1:3" x14ac:dyDescent="0.25">
      <c r="A23" s="2" t="s">
        <v>33</v>
      </c>
      <c r="B23" s="2" t="s">
        <v>19</v>
      </c>
      <c r="C23" s="2" t="s">
        <v>34</v>
      </c>
    </row>
    <row r="24" spans="1:3" hidden="1" x14ac:dyDescent="0.25">
      <c r="A24" s="2" t="s">
        <v>35</v>
      </c>
      <c r="B24" s="2" t="s">
        <v>36</v>
      </c>
      <c r="C24" s="2" t="s">
        <v>37</v>
      </c>
    </row>
    <row r="25" spans="1:3" hidden="1" x14ac:dyDescent="0.25">
      <c r="A25" s="2" t="s">
        <v>38</v>
      </c>
      <c r="B25" s="2" t="s">
        <v>36</v>
      </c>
      <c r="C25" s="2" t="s">
        <v>39</v>
      </c>
    </row>
    <row r="26" spans="1:3" hidden="1" x14ac:dyDescent="0.25">
      <c r="A26" s="2" t="s">
        <v>40</v>
      </c>
      <c r="B26" s="2" t="s">
        <v>36</v>
      </c>
      <c r="C26" s="2" t="s">
        <v>41</v>
      </c>
    </row>
    <row r="27" spans="1:3" hidden="1" x14ac:dyDescent="0.25">
      <c r="A27" s="2" t="s">
        <v>42</v>
      </c>
      <c r="B27" s="2" t="s">
        <v>36</v>
      </c>
      <c r="C27" s="2" t="s">
        <v>43</v>
      </c>
    </row>
    <row r="28" spans="1:3" hidden="1" x14ac:dyDescent="0.25">
      <c r="A28" s="2" t="s">
        <v>44</v>
      </c>
      <c r="B28" s="2" t="s">
        <v>36</v>
      </c>
      <c r="C28" s="2" t="s">
        <v>45</v>
      </c>
    </row>
    <row r="29" spans="1:3" hidden="1" x14ac:dyDescent="0.25">
      <c r="A29" s="2" t="s">
        <v>46</v>
      </c>
      <c r="B29" s="2" t="s">
        <v>36</v>
      </c>
      <c r="C29" s="2" t="s">
        <v>47</v>
      </c>
    </row>
    <row r="30" spans="1:3" hidden="1" x14ac:dyDescent="0.25">
      <c r="A30" s="2" t="s">
        <v>48</v>
      </c>
      <c r="B30" s="2" t="s">
        <v>36</v>
      </c>
      <c r="C30" s="2" t="s">
        <v>47</v>
      </c>
    </row>
    <row r="31" spans="1:3" hidden="1" x14ac:dyDescent="0.25">
      <c r="A31" s="2" t="s">
        <v>49</v>
      </c>
      <c r="B31" s="2" t="s">
        <v>36</v>
      </c>
      <c r="C31" s="2" t="s">
        <v>47</v>
      </c>
    </row>
    <row r="32" spans="1:3" hidden="1" x14ac:dyDescent="0.25">
      <c r="A32" s="2" t="s">
        <v>50</v>
      </c>
      <c r="B32" s="2" t="s">
        <v>36</v>
      </c>
      <c r="C32" s="2" t="s">
        <v>51</v>
      </c>
    </row>
    <row r="33" spans="1:3" hidden="1" x14ac:dyDescent="0.25">
      <c r="A33" s="2" t="s">
        <v>52</v>
      </c>
      <c r="B33" s="2" t="s">
        <v>36</v>
      </c>
      <c r="C33" s="2" t="s">
        <v>51</v>
      </c>
    </row>
    <row r="34" spans="1:3" hidden="1" x14ac:dyDescent="0.25">
      <c r="A34" s="2" t="s">
        <v>53</v>
      </c>
      <c r="B34" s="2" t="s">
        <v>36</v>
      </c>
      <c r="C34" s="2" t="s">
        <v>54</v>
      </c>
    </row>
    <row r="35" spans="1:3" hidden="1" x14ac:dyDescent="0.25">
      <c r="A35" s="2" t="s">
        <v>55</v>
      </c>
      <c r="B35" s="2" t="s">
        <v>36</v>
      </c>
      <c r="C35" s="2" t="s">
        <v>54</v>
      </c>
    </row>
    <row r="36" spans="1:3" hidden="1" x14ac:dyDescent="0.25">
      <c r="A36" s="2" t="s">
        <v>56</v>
      </c>
      <c r="B36" s="2" t="s">
        <v>36</v>
      </c>
      <c r="C36" s="2" t="s">
        <v>57</v>
      </c>
    </row>
    <row r="37" spans="1:3" hidden="1" x14ac:dyDescent="0.25">
      <c r="A37" s="2" t="s">
        <v>58</v>
      </c>
      <c r="B37" s="2" t="s">
        <v>36</v>
      </c>
      <c r="C37" s="2" t="s">
        <v>57</v>
      </c>
    </row>
    <row r="38" spans="1:3" hidden="1" x14ac:dyDescent="0.25">
      <c r="A38" s="2" t="s">
        <v>59</v>
      </c>
      <c r="B38" s="2" t="s">
        <v>36</v>
      </c>
      <c r="C38" s="2" t="s">
        <v>60</v>
      </c>
    </row>
    <row r="39" spans="1:3" hidden="1" x14ac:dyDescent="0.25">
      <c r="A39" s="2" t="s">
        <v>61</v>
      </c>
      <c r="B39" s="2" t="s">
        <v>36</v>
      </c>
      <c r="C39" s="2" t="s">
        <v>62</v>
      </c>
    </row>
    <row r="40" spans="1:3" hidden="1" x14ac:dyDescent="0.25">
      <c r="A40" s="2" t="s">
        <v>63</v>
      </c>
      <c r="B40" s="2" t="s">
        <v>36</v>
      </c>
      <c r="C40" s="2" t="s">
        <v>64</v>
      </c>
    </row>
    <row r="41" spans="1:3" hidden="1" x14ac:dyDescent="0.25">
      <c r="A41" s="2" t="s">
        <v>65</v>
      </c>
      <c r="B41" s="2" t="s">
        <v>36</v>
      </c>
      <c r="C41" s="2" t="s">
        <v>66</v>
      </c>
    </row>
    <row r="42" spans="1:3" hidden="1" x14ac:dyDescent="0.25">
      <c r="A42" s="2" t="s">
        <v>67</v>
      </c>
      <c r="B42" s="2" t="s">
        <v>36</v>
      </c>
      <c r="C42" s="2" t="s">
        <v>68</v>
      </c>
    </row>
    <row r="43" spans="1:3" hidden="1" x14ac:dyDescent="0.25">
      <c r="A43" s="2" t="s">
        <v>69</v>
      </c>
      <c r="B43" s="2" t="s">
        <v>36</v>
      </c>
      <c r="C43" s="2" t="s">
        <v>70</v>
      </c>
    </row>
    <row r="44" spans="1:3" hidden="1" x14ac:dyDescent="0.25">
      <c r="A44" s="2" t="s">
        <v>71</v>
      </c>
      <c r="B44" s="2" t="s">
        <v>36</v>
      </c>
      <c r="C44" s="2" t="s">
        <v>72</v>
      </c>
    </row>
    <row r="45" spans="1:3" hidden="1" x14ac:dyDescent="0.25">
      <c r="A45" s="2" t="s">
        <v>73</v>
      </c>
      <c r="B45" s="2" t="s">
        <v>36</v>
      </c>
      <c r="C45" s="2" t="s">
        <v>74</v>
      </c>
    </row>
    <row r="46" spans="1:3" hidden="1" x14ac:dyDescent="0.25">
      <c r="A46" s="2" t="s">
        <v>75</v>
      </c>
      <c r="B46" s="2" t="s">
        <v>36</v>
      </c>
      <c r="C46" s="2" t="s">
        <v>74</v>
      </c>
    </row>
    <row r="47" spans="1:3" hidden="1" x14ac:dyDescent="0.25">
      <c r="A47" s="2" t="s">
        <v>76</v>
      </c>
      <c r="B47" s="2" t="s">
        <v>36</v>
      </c>
      <c r="C47" s="2" t="s">
        <v>74</v>
      </c>
    </row>
    <row r="48" spans="1:3" hidden="1" x14ac:dyDescent="0.25">
      <c r="A48" s="2" t="s">
        <v>77</v>
      </c>
      <c r="B48" s="2" t="s">
        <v>36</v>
      </c>
      <c r="C48" s="2" t="s">
        <v>78</v>
      </c>
    </row>
    <row r="49" spans="1:3" hidden="1" x14ac:dyDescent="0.25">
      <c r="A49" s="2" t="s">
        <v>79</v>
      </c>
      <c r="B49" s="2" t="s">
        <v>36</v>
      </c>
      <c r="C49" s="2" t="s">
        <v>80</v>
      </c>
    </row>
    <row r="50" spans="1:3" hidden="1" x14ac:dyDescent="0.25">
      <c r="A50" s="2" t="s">
        <v>81</v>
      </c>
      <c r="B50" s="2" t="s">
        <v>36</v>
      </c>
      <c r="C50" s="2" t="s">
        <v>80</v>
      </c>
    </row>
    <row r="51" spans="1:3" hidden="1" x14ac:dyDescent="0.25">
      <c r="A51" s="2" t="s">
        <v>82</v>
      </c>
      <c r="B51" s="2" t="s">
        <v>36</v>
      </c>
      <c r="C51" s="2" t="s">
        <v>80</v>
      </c>
    </row>
    <row r="52" spans="1:3" hidden="1" x14ac:dyDescent="0.25">
      <c r="A52" s="2" t="s">
        <v>83</v>
      </c>
      <c r="B52" s="2" t="s">
        <v>36</v>
      </c>
      <c r="C52" s="2" t="s">
        <v>80</v>
      </c>
    </row>
    <row r="53" spans="1:3" hidden="1" x14ac:dyDescent="0.25">
      <c r="A53" s="2" t="s">
        <v>84</v>
      </c>
      <c r="B53" s="2" t="s">
        <v>36</v>
      </c>
      <c r="C53" s="2" t="s">
        <v>80</v>
      </c>
    </row>
    <row r="54" spans="1:3" hidden="1" x14ac:dyDescent="0.25">
      <c r="A54" s="2" t="s">
        <v>85</v>
      </c>
      <c r="B54" s="2" t="s">
        <v>36</v>
      </c>
      <c r="C54" s="2" t="s">
        <v>86</v>
      </c>
    </row>
    <row r="55" spans="1:3" hidden="1" x14ac:dyDescent="0.25">
      <c r="A55" s="2" t="s">
        <v>87</v>
      </c>
      <c r="B55" s="2" t="s">
        <v>36</v>
      </c>
      <c r="C55" s="2" t="s">
        <v>88</v>
      </c>
    </row>
    <row r="56" spans="1:3" hidden="1" x14ac:dyDescent="0.25">
      <c r="A56" s="2" t="s">
        <v>89</v>
      </c>
      <c r="B56" s="2" t="s">
        <v>36</v>
      </c>
      <c r="C56" s="2" t="s">
        <v>88</v>
      </c>
    </row>
    <row r="57" spans="1:3" hidden="1" x14ac:dyDescent="0.25">
      <c r="A57" s="2" t="s">
        <v>90</v>
      </c>
      <c r="B57" s="2" t="s">
        <v>36</v>
      </c>
      <c r="C57" s="2" t="s">
        <v>91</v>
      </c>
    </row>
    <row r="58" spans="1:3" hidden="1" x14ac:dyDescent="0.25">
      <c r="A58" s="2" t="s">
        <v>92</v>
      </c>
      <c r="B58" s="2" t="s">
        <v>36</v>
      </c>
      <c r="C58" s="2" t="s">
        <v>93</v>
      </c>
    </row>
    <row r="59" spans="1:3" hidden="1" x14ac:dyDescent="0.25">
      <c r="A59" s="2" t="s">
        <v>94</v>
      </c>
      <c r="B59" s="2" t="s">
        <v>36</v>
      </c>
      <c r="C59" s="2" t="s">
        <v>95</v>
      </c>
    </row>
    <row r="60" spans="1:3" hidden="1" x14ac:dyDescent="0.25">
      <c r="A60" s="2" t="s">
        <v>96</v>
      </c>
      <c r="B60" s="2" t="s">
        <v>36</v>
      </c>
      <c r="C60" s="2" t="s">
        <v>95</v>
      </c>
    </row>
    <row r="61" spans="1:3" hidden="1" x14ac:dyDescent="0.25">
      <c r="A61" s="2" t="s">
        <v>97</v>
      </c>
      <c r="B61" s="2" t="s">
        <v>36</v>
      </c>
      <c r="C61" s="2" t="s">
        <v>95</v>
      </c>
    </row>
    <row r="62" spans="1:3" hidden="1" x14ac:dyDescent="0.25">
      <c r="A62" s="2" t="s">
        <v>98</v>
      </c>
      <c r="B62" s="2" t="s">
        <v>36</v>
      </c>
      <c r="C62" s="2" t="s">
        <v>99</v>
      </c>
    </row>
    <row r="63" spans="1:3" hidden="1" x14ac:dyDescent="0.25">
      <c r="A63" s="2" t="s">
        <v>100</v>
      </c>
      <c r="B63" s="2" t="s">
        <v>36</v>
      </c>
      <c r="C63" s="2" t="s">
        <v>99</v>
      </c>
    </row>
    <row r="64" spans="1:3" hidden="1" x14ac:dyDescent="0.25">
      <c r="A64" s="2" t="s">
        <v>101</v>
      </c>
      <c r="B64" s="2" t="s">
        <v>36</v>
      </c>
      <c r="C64" s="2" t="s">
        <v>102</v>
      </c>
    </row>
    <row r="65" spans="1:3" hidden="1" x14ac:dyDescent="0.25">
      <c r="A65" s="2" t="s">
        <v>103</v>
      </c>
      <c r="B65" s="2" t="s">
        <v>36</v>
      </c>
      <c r="C65" s="2" t="s">
        <v>104</v>
      </c>
    </row>
    <row r="66" spans="1:3" hidden="1" x14ac:dyDescent="0.25">
      <c r="A66" s="2" t="s">
        <v>105</v>
      </c>
      <c r="B66" s="2" t="s">
        <v>36</v>
      </c>
      <c r="C66" s="2" t="s">
        <v>104</v>
      </c>
    </row>
    <row r="67" spans="1:3" hidden="1" x14ac:dyDescent="0.25">
      <c r="A67" s="2" t="s">
        <v>106</v>
      </c>
      <c r="B67" s="2" t="s">
        <v>36</v>
      </c>
      <c r="C67" s="2" t="s">
        <v>107</v>
      </c>
    </row>
    <row r="68" spans="1:3" hidden="1" x14ac:dyDescent="0.25">
      <c r="A68" s="2" t="s">
        <v>108</v>
      </c>
      <c r="B68" s="2" t="s">
        <v>36</v>
      </c>
      <c r="C68" s="2" t="s">
        <v>109</v>
      </c>
    </row>
    <row r="69" spans="1:3" hidden="1" x14ac:dyDescent="0.25">
      <c r="A69" s="2" t="s">
        <v>110</v>
      </c>
      <c r="B69" s="2" t="s">
        <v>36</v>
      </c>
      <c r="C69" s="2" t="s">
        <v>111</v>
      </c>
    </row>
    <row r="70" spans="1:3" hidden="1" x14ac:dyDescent="0.25">
      <c r="A70" s="2" t="s">
        <v>112</v>
      </c>
      <c r="B70" s="2" t="s">
        <v>36</v>
      </c>
      <c r="C70" s="2" t="s">
        <v>111</v>
      </c>
    </row>
    <row r="71" spans="1:3" hidden="1" x14ac:dyDescent="0.25">
      <c r="A71" s="2" t="s">
        <v>113</v>
      </c>
      <c r="B71" s="2" t="s">
        <v>36</v>
      </c>
      <c r="C71" s="2" t="s">
        <v>114</v>
      </c>
    </row>
    <row r="72" spans="1:3" hidden="1" x14ac:dyDescent="0.25">
      <c r="A72" s="2" t="s">
        <v>115</v>
      </c>
      <c r="B72" s="2" t="s">
        <v>36</v>
      </c>
      <c r="C72" s="2" t="s">
        <v>116</v>
      </c>
    </row>
    <row r="73" spans="1:3" hidden="1" x14ac:dyDescent="0.25">
      <c r="A73" s="2" t="s">
        <v>117</v>
      </c>
      <c r="B73" s="2" t="s">
        <v>36</v>
      </c>
      <c r="C73" s="2" t="s">
        <v>118</v>
      </c>
    </row>
    <row r="74" spans="1:3" hidden="1" x14ac:dyDescent="0.25">
      <c r="A74" s="2" t="s">
        <v>119</v>
      </c>
      <c r="B74" s="2" t="s">
        <v>36</v>
      </c>
      <c r="C74" s="2" t="s">
        <v>118</v>
      </c>
    </row>
    <row r="75" spans="1:3" hidden="1" x14ac:dyDescent="0.25">
      <c r="A75" s="2" t="s">
        <v>120</v>
      </c>
      <c r="B75" s="2" t="s">
        <v>36</v>
      </c>
      <c r="C75" s="2" t="s">
        <v>118</v>
      </c>
    </row>
    <row r="76" spans="1:3" hidden="1" x14ac:dyDescent="0.25">
      <c r="A76" s="2" t="s">
        <v>121</v>
      </c>
      <c r="B76" s="2" t="s">
        <v>36</v>
      </c>
      <c r="C76" s="2" t="s">
        <v>122</v>
      </c>
    </row>
    <row r="77" spans="1:3" hidden="1" x14ac:dyDescent="0.25">
      <c r="A77" s="2" t="s">
        <v>123</v>
      </c>
      <c r="B77" s="2" t="s">
        <v>36</v>
      </c>
      <c r="C77" s="2" t="s">
        <v>124</v>
      </c>
    </row>
    <row r="78" spans="1:3" hidden="1" x14ac:dyDescent="0.25">
      <c r="A78" s="2" t="s">
        <v>125</v>
      </c>
      <c r="B78" s="2" t="s">
        <v>36</v>
      </c>
      <c r="C78" s="2" t="s">
        <v>124</v>
      </c>
    </row>
    <row r="79" spans="1:3" hidden="1" x14ac:dyDescent="0.25">
      <c r="A79" s="2" t="s">
        <v>126</v>
      </c>
      <c r="B79" s="2" t="s">
        <v>36</v>
      </c>
      <c r="C79" s="2" t="s">
        <v>127</v>
      </c>
    </row>
    <row r="80" spans="1:3" hidden="1" x14ac:dyDescent="0.25">
      <c r="A80" s="2" t="s">
        <v>128</v>
      </c>
      <c r="B80" s="2" t="s">
        <v>36</v>
      </c>
      <c r="C80" s="2" t="s">
        <v>129</v>
      </c>
    </row>
    <row r="81" spans="1:3" hidden="1" x14ac:dyDescent="0.25">
      <c r="A81" s="2" t="s">
        <v>130</v>
      </c>
      <c r="B81" s="2" t="s">
        <v>36</v>
      </c>
      <c r="C81" s="2" t="s">
        <v>131</v>
      </c>
    </row>
    <row r="82" spans="1:3" hidden="1" x14ac:dyDescent="0.25">
      <c r="A82" s="2" t="s">
        <v>132</v>
      </c>
      <c r="B82" s="2" t="s">
        <v>36</v>
      </c>
      <c r="C82" s="2" t="s">
        <v>133</v>
      </c>
    </row>
    <row r="83" spans="1:3" hidden="1" x14ac:dyDescent="0.25">
      <c r="A83" s="2" t="s">
        <v>134</v>
      </c>
      <c r="B83" s="2" t="s">
        <v>36</v>
      </c>
      <c r="C83" s="2" t="s">
        <v>135</v>
      </c>
    </row>
    <row r="84" spans="1:3" hidden="1" x14ac:dyDescent="0.25">
      <c r="A84" s="2" t="s">
        <v>136</v>
      </c>
      <c r="B84" s="2" t="s">
        <v>36</v>
      </c>
      <c r="C84" s="2" t="s">
        <v>135</v>
      </c>
    </row>
    <row r="85" spans="1:3" hidden="1" x14ac:dyDescent="0.25">
      <c r="A85" s="2" t="s">
        <v>137</v>
      </c>
      <c r="B85" s="2" t="s">
        <v>36</v>
      </c>
      <c r="C85" s="2" t="s">
        <v>135</v>
      </c>
    </row>
    <row r="86" spans="1:3" hidden="1" x14ac:dyDescent="0.25">
      <c r="A86" s="2" t="s">
        <v>138</v>
      </c>
      <c r="B86" s="2" t="s">
        <v>36</v>
      </c>
      <c r="C86" s="2" t="s">
        <v>139</v>
      </c>
    </row>
    <row r="87" spans="1:3" hidden="1" x14ac:dyDescent="0.25">
      <c r="A87" s="2" t="s">
        <v>140</v>
      </c>
      <c r="B87" s="2" t="s">
        <v>36</v>
      </c>
      <c r="C87" s="2" t="s">
        <v>141</v>
      </c>
    </row>
    <row r="88" spans="1:3" hidden="1" x14ac:dyDescent="0.25">
      <c r="A88" s="2" t="s">
        <v>142</v>
      </c>
      <c r="B88" s="2" t="s">
        <v>36</v>
      </c>
      <c r="C88" s="2" t="s">
        <v>143</v>
      </c>
    </row>
    <row r="89" spans="1:3" hidden="1" x14ac:dyDescent="0.25">
      <c r="A89" s="2" t="s">
        <v>144</v>
      </c>
      <c r="B89" s="2" t="s">
        <v>36</v>
      </c>
      <c r="C89" s="2" t="s">
        <v>145</v>
      </c>
    </row>
    <row r="90" spans="1:3" hidden="1" x14ac:dyDescent="0.25">
      <c r="A90" s="2" t="s">
        <v>146</v>
      </c>
      <c r="B90" s="2" t="s">
        <v>36</v>
      </c>
      <c r="C90" s="2" t="s">
        <v>145</v>
      </c>
    </row>
    <row r="91" spans="1:3" hidden="1" x14ac:dyDescent="0.25">
      <c r="A91" s="2" t="s">
        <v>147</v>
      </c>
      <c r="B91" s="2" t="s">
        <v>36</v>
      </c>
      <c r="C91" s="2" t="s">
        <v>145</v>
      </c>
    </row>
    <row r="92" spans="1:3" hidden="1" x14ac:dyDescent="0.25">
      <c r="A92" s="2" t="s">
        <v>148</v>
      </c>
      <c r="B92" s="2" t="s">
        <v>36</v>
      </c>
      <c r="C92" s="2" t="s">
        <v>149</v>
      </c>
    </row>
    <row r="93" spans="1:3" hidden="1" x14ac:dyDescent="0.25">
      <c r="A93" s="2" t="s">
        <v>150</v>
      </c>
      <c r="B93" s="2" t="s">
        <v>36</v>
      </c>
      <c r="C93" s="2" t="s">
        <v>149</v>
      </c>
    </row>
  </sheetData>
  <autoFilter ref="B1:B93" xr:uid="{00000000-0001-0000-0000-000000000000}">
    <filterColumn colId="0">
      <filters>
        <filter val="Banque"/>
        <filter val="Société de financement"/>
      </filters>
    </filterColumn>
  </autoFilter>
  <dataValidations count="1">
    <dataValidation type="list" allowBlank="1" sqref="B2:B300" xr:uid="{00000000-0002-0000-0000-000000000000}">
      <formula1>"Banque,Société de financement,Corporate"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EBF7-D615-4FD9-81AA-4631556C24EC}">
  <dimension ref="B2:S27"/>
  <sheetViews>
    <sheetView tabSelected="1" workbookViewId="0">
      <selection activeCell="A4" sqref="A4:XFD4"/>
    </sheetView>
  </sheetViews>
  <sheetFormatPr defaultRowHeight="15" x14ac:dyDescent="0.25"/>
  <cols>
    <col min="2" max="2" width="27.140625" bestFit="1" customWidth="1"/>
    <col min="3" max="3" width="18" bestFit="1" customWidth="1"/>
    <col min="4" max="4" width="19" bestFit="1" customWidth="1"/>
    <col min="5" max="5" width="20.28515625" bestFit="1" customWidth="1"/>
    <col min="6" max="6" width="24" bestFit="1" customWidth="1"/>
    <col min="7" max="7" width="23.85546875" bestFit="1" customWidth="1"/>
    <col min="8" max="8" width="22.85546875" customWidth="1"/>
    <col min="9" max="9" width="19.28515625" bestFit="1" customWidth="1"/>
    <col min="10" max="10" width="16.7109375" bestFit="1" customWidth="1"/>
    <col min="11" max="11" width="16.85546875" bestFit="1" customWidth="1"/>
    <col min="12" max="12" width="15" bestFit="1" customWidth="1"/>
    <col min="13" max="13" width="14.140625" bestFit="1" customWidth="1"/>
    <col min="14" max="14" width="21" bestFit="1" customWidth="1"/>
  </cols>
  <sheetData>
    <row r="2" spans="2:19" ht="30.75" customHeight="1" x14ac:dyDescent="0.25">
      <c r="B2" s="4" t="s">
        <v>160</v>
      </c>
      <c r="C2" s="4" t="s">
        <v>151</v>
      </c>
      <c r="D2" s="4" t="s">
        <v>152</v>
      </c>
      <c r="E2" s="4" t="s">
        <v>153</v>
      </c>
      <c r="F2" s="4" t="s">
        <v>154</v>
      </c>
      <c r="G2" s="4" t="s">
        <v>155</v>
      </c>
      <c r="H2" s="6" t="s">
        <v>156</v>
      </c>
      <c r="I2" s="4" t="s">
        <v>157</v>
      </c>
      <c r="J2" s="4" t="s">
        <v>158</v>
      </c>
      <c r="K2" s="4" t="s">
        <v>159</v>
      </c>
      <c r="L2" s="8" t="s">
        <v>168</v>
      </c>
      <c r="M2" s="7" t="s">
        <v>169</v>
      </c>
      <c r="N2" s="7" t="s">
        <v>170</v>
      </c>
      <c r="O2" s="7" t="s">
        <v>171</v>
      </c>
      <c r="P2" s="7" t="s">
        <v>172</v>
      </c>
      <c r="Q2" s="7" t="s">
        <v>173</v>
      </c>
      <c r="R2" s="7" t="s">
        <v>174</v>
      </c>
      <c r="S2" s="7" t="s">
        <v>175</v>
      </c>
    </row>
    <row r="3" spans="2:19" x14ac:dyDescent="0.25">
      <c r="B3" t="s">
        <v>8</v>
      </c>
      <c r="C3" s="5">
        <v>7583624000</v>
      </c>
      <c r="D3" s="5">
        <v>78576845000</v>
      </c>
      <c r="E3" s="5">
        <v>6542302000</v>
      </c>
      <c r="F3" s="5">
        <v>7630158000</v>
      </c>
      <c r="G3" s="5">
        <v>50545524000</v>
      </c>
      <c r="H3" s="5">
        <v>4060028000</v>
      </c>
      <c r="I3" s="5">
        <v>3943792000</v>
      </c>
      <c r="J3" s="5">
        <v>3708763000</v>
      </c>
      <c r="K3" s="5">
        <v>951346000</v>
      </c>
      <c r="L3" s="9">
        <f t="shared" ref="L3:L4" si="0">C3/D3</f>
        <v>9.6512197709134287E-2</v>
      </c>
      <c r="M3" s="10">
        <f t="shared" ref="M3:M4" si="1">(E3+F3+G3+H3)/I3</f>
        <v>17.439563749812365</v>
      </c>
      <c r="N3" s="10">
        <f t="shared" ref="N3:N4" si="2">J3/K3</f>
        <v>3.8984375821204904</v>
      </c>
      <c r="O3" t="str">
        <f t="shared" ref="O3:O4" si="3">_xlfn.IFS(L3&gt;=10%,"A",L3&gt;=8%,"B",L3&gt;=6%,"C",L3&lt;6%,"D")</f>
        <v>B</v>
      </c>
      <c r="P3" t="str">
        <f t="shared" ref="P3:P4" si="4">_xlfn.IFS(M3&gt;40,"A",M3&gt;30,"B",M3&gt;20,"C",M3&lt;=20,"D")</f>
        <v>D</v>
      </c>
      <c r="Q3" t="str">
        <f t="shared" ref="Q3:Q4" si="5">_xlfn.IFS(N3&gt;=2.5,"A",N3&gt;=2,"B",N3&gt;=1.5,"C",N3&lt;1.5,"D")</f>
        <v>A</v>
      </c>
      <c r="R3" s="10">
        <f t="shared" ref="R3:R4" si="6">SUM(_xlfn.IFS(O3="A",4,O3="B",3,O3="C",2,O3="D",1),_xlfn.IFS(P3="A",4,P3="B",3,P3="C",2,P3="D",1),_xlfn.IFS(Q3="A",4,Q3="B",3,Q3="C",2,Q3="D",1))/3</f>
        <v>2.6666666666666665</v>
      </c>
      <c r="S3" t="str">
        <f t="shared" ref="S3:S4" si="7">_xlfn.IFS(R3&gt;=3.5,"A",R3&gt;=2.5,"B",R3&gt;=1.5,"C",R3&lt;1.5,"D")</f>
        <v>B</v>
      </c>
    </row>
    <row r="4" spans="2:19" x14ac:dyDescent="0.25">
      <c r="B4" t="s">
        <v>22</v>
      </c>
      <c r="C4" s="5">
        <v>113180000</v>
      </c>
    </row>
    <row r="5" spans="2:19" x14ac:dyDescent="0.25">
      <c r="B5" t="s">
        <v>167</v>
      </c>
      <c r="C5" s="5">
        <v>10731487000</v>
      </c>
      <c r="D5" s="5">
        <v>163688195000</v>
      </c>
      <c r="E5" s="5">
        <v>5872712000</v>
      </c>
      <c r="F5" s="5">
        <v>23593538000</v>
      </c>
      <c r="G5" s="5">
        <v>99499965000</v>
      </c>
      <c r="H5" s="5">
        <v>14096216000</v>
      </c>
      <c r="I5" s="5">
        <v>5422526000</v>
      </c>
      <c r="J5" s="5">
        <v>5433142000</v>
      </c>
      <c r="K5" s="5">
        <v>2051030000</v>
      </c>
      <c r="L5" s="9">
        <f>C5/D5</f>
        <v>6.5560543324459042E-2</v>
      </c>
      <c r="M5" s="10">
        <f>(E5+F5+G5+H5)/I5</f>
        <v>26.382986637592886</v>
      </c>
      <c r="N5" s="10">
        <f>J5/K5</f>
        <v>2.6489822186901217</v>
      </c>
      <c r="O5" t="str">
        <f>_xlfn.IFS(L5&gt;=10%,"A",L5&gt;=8%,"B",L5&gt;=6%,"C",L5&lt;6%,"D")</f>
        <v>C</v>
      </c>
      <c r="P5" t="str">
        <f>_xlfn.IFS(M5&gt;40,"A",M5&gt;30,"B",M5&gt;20,"C",M5&lt;=20,"D")</f>
        <v>C</v>
      </c>
      <c r="Q5" t="str">
        <f>_xlfn.IFS(N5&gt;=2.5,"A",N5&gt;=2,"B",N5&gt;=1.5,"C",N5&lt;1.5,"D")</f>
        <v>A</v>
      </c>
      <c r="R5" s="10">
        <f>SUM(_xlfn.IFS(O5="A",4,O5="B",3,O5="C",2,O5="D",1),_xlfn.IFS(P5="A",4,P5="B",3,P5="C",2,P5="D",1),_xlfn.IFS(Q5="A",4,Q5="B",3,Q5="C",2,Q5="D",1))/3</f>
        <v>2.6666666666666665</v>
      </c>
      <c r="S5" t="str">
        <f>_xlfn.IFS(R5&gt;=3.5,"A",R5&gt;=2.5,"B",R5&gt;=1.5,"C",R5&lt;1.5,"D")</f>
        <v>B</v>
      </c>
    </row>
    <row r="6" spans="2:19" x14ac:dyDescent="0.25">
      <c r="B6" s="2" t="s">
        <v>3</v>
      </c>
    </row>
    <row r="7" spans="2:19" x14ac:dyDescent="0.25">
      <c r="B7" s="2" t="s">
        <v>6</v>
      </c>
    </row>
    <row r="8" spans="2:19" x14ac:dyDescent="0.25">
      <c r="B8" s="2" t="s">
        <v>7</v>
      </c>
    </row>
    <row r="9" spans="2:19" x14ac:dyDescent="0.25">
      <c r="B9" s="2" t="s">
        <v>8</v>
      </c>
    </row>
    <row r="10" spans="2:19" x14ac:dyDescent="0.25">
      <c r="B10" s="2" t="s">
        <v>9</v>
      </c>
    </row>
    <row r="11" spans="2:19" x14ac:dyDescent="0.25">
      <c r="B11" s="2" t="s">
        <v>10</v>
      </c>
    </row>
    <row r="12" spans="2:19" x14ac:dyDescent="0.25">
      <c r="B12" s="2" t="s">
        <v>11</v>
      </c>
    </row>
    <row r="13" spans="2:19" x14ac:dyDescent="0.25">
      <c r="B13" s="2" t="s">
        <v>12</v>
      </c>
    </row>
    <row r="14" spans="2:19" x14ac:dyDescent="0.25">
      <c r="B14" s="2" t="s">
        <v>13</v>
      </c>
    </row>
    <row r="15" spans="2:19" x14ac:dyDescent="0.25">
      <c r="B15" s="2" t="s">
        <v>14</v>
      </c>
    </row>
    <row r="16" spans="2:19" x14ac:dyDescent="0.25">
      <c r="B16" s="2" t="s">
        <v>16</v>
      </c>
    </row>
    <row r="17" spans="2:2" x14ac:dyDescent="0.25">
      <c r="B17" s="2" t="s">
        <v>18</v>
      </c>
    </row>
    <row r="18" spans="2:2" x14ac:dyDescent="0.25">
      <c r="B18" s="2" t="s">
        <v>21</v>
      </c>
    </row>
    <row r="19" spans="2:2" x14ac:dyDescent="0.25">
      <c r="B19" s="2" t="s">
        <v>22</v>
      </c>
    </row>
    <row r="20" spans="2:2" x14ac:dyDescent="0.25">
      <c r="B20" s="2" t="s">
        <v>23</v>
      </c>
    </row>
    <row r="21" spans="2:2" x14ac:dyDescent="0.25">
      <c r="B21" s="2" t="s">
        <v>24</v>
      </c>
    </row>
    <row r="22" spans="2:2" x14ac:dyDescent="0.25">
      <c r="B22" s="2" t="s">
        <v>26</v>
      </c>
    </row>
    <row r="23" spans="2:2" x14ac:dyDescent="0.25">
      <c r="B23" s="2" t="s">
        <v>28</v>
      </c>
    </row>
    <row r="24" spans="2:2" x14ac:dyDescent="0.25">
      <c r="B24" s="2" t="s">
        <v>29</v>
      </c>
    </row>
    <row r="25" spans="2:2" x14ac:dyDescent="0.25">
      <c r="B25" s="2" t="s">
        <v>30</v>
      </c>
    </row>
    <row r="26" spans="2:2" x14ac:dyDescent="0.25">
      <c r="B26" s="2" t="s">
        <v>31</v>
      </c>
    </row>
    <row r="27" spans="2:2" x14ac:dyDescent="0.25">
      <c r="B27" s="2" t="s">
        <v>33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480C-1A9C-4DD0-8323-A48CE9908CD0}">
  <dimension ref="B2:G4"/>
  <sheetViews>
    <sheetView workbookViewId="0">
      <selection activeCell="H3" sqref="H3"/>
    </sheetView>
  </sheetViews>
  <sheetFormatPr defaultRowHeight="15" x14ac:dyDescent="0.25"/>
  <cols>
    <col min="2" max="2" width="10.7109375" bestFit="1" customWidth="1"/>
    <col min="3" max="4" width="16.85546875" bestFit="1" customWidth="1"/>
    <col min="5" max="5" width="21.5703125" bestFit="1" customWidth="1"/>
    <col min="7" max="7" width="32" bestFit="1" customWidth="1"/>
  </cols>
  <sheetData>
    <row r="2" spans="2:7" x14ac:dyDescent="0.25">
      <c r="B2" s="4" t="s">
        <v>160</v>
      </c>
      <c r="C2" s="4" t="s">
        <v>163</v>
      </c>
      <c r="D2" s="4" t="s">
        <v>162</v>
      </c>
      <c r="E2" s="4" t="s">
        <v>164</v>
      </c>
      <c r="F2" s="4" t="s">
        <v>165</v>
      </c>
      <c r="G2" s="4" t="s">
        <v>166</v>
      </c>
    </row>
    <row r="3" spans="2:7" x14ac:dyDescent="0.25">
      <c r="B3" t="s">
        <v>161</v>
      </c>
      <c r="C3" s="5">
        <v>4142049049.0500002</v>
      </c>
      <c r="D3" s="5">
        <v>1594872458.8</v>
      </c>
    </row>
    <row r="4" spans="2:7" x14ac:dyDescent="0.25">
      <c r="B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financier</vt:lpstr>
      <vt:lpstr>corporate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IBRAHIMI</dc:creator>
  <cp:lastModifiedBy>Mohamed Amine tifernine</cp:lastModifiedBy>
  <dcterms:created xsi:type="dcterms:W3CDTF">2026-07-17T08:48:47Z</dcterms:created>
  <dcterms:modified xsi:type="dcterms:W3CDTF">2026-07-17T15:38:21Z</dcterms:modified>
</cp:coreProperties>
</file>